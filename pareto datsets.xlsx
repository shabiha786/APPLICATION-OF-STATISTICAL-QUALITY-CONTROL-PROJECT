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B1A8EF3-6172-4E0C-85C3-4014728637B8}" xr6:coauthVersionLast="36" xr6:coauthVersionMax="36" xr10:uidLastSave="{00000000-0000-0000-0000-000000000000}"/>
  <bookViews>
    <workbookView xWindow="0" yWindow="0" windowWidth="20490" windowHeight="80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chart.v1.0" hidden="1">Sheet2!$A$2:$A$8</definedName>
    <definedName name="_xlchart.v1.1" hidden="1">Sheet2!$B$1</definedName>
    <definedName name="_xlchart.v1.2" hidden="1">Sheet2!$B$2:$B$8</definedName>
    <definedName name="_xlchart.v1.3" hidden="1">Sheet2!$C$1</definedName>
    <definedName name="_xlchart.v1.4" hidden="1">Sheet2!$C$2:$C$8</definedName>
    <definedName name="_xlchart.v1.5" hidden="1">Sheet2!$D$1</definedName>
    <definedName name="_xlchart.v1.6" hidden="1">Sheet2!$D$2:$D$8</definedName>
  </definedNames>
  <calcPr calcId="179021"/>
</workbook>
</file>

<file path=xl/calcChain.xml><?xml version="1.0" encoding="utf-8"?>
<calcChain xmlns="http://schemas.openxmlformats.org/spreadsheetml/2006/main">
  <c r="B9" i="2" l="1"/>
  <c r="E4" i="2" s="1"/>
  <c r="E7" i="2" l="1"/>
  <c r="E3" i="2"/>
  <c r="E6" i="2"/>
  <c r="E2" i="2"/>
  <c r="C2" i="2" s="1"/>
  <c r="C3" i="2" s="1"/>
  <c r="C4" i="2" s="1"/>
  <c r="C5" i="2" s="1"/>
  <c r="C6" i="2" s="1"/>
  <c r="C7" i="2" s="1"/>
  <c r="C8" i="2" s="1"/>
  <c r="E5" i="2"/>
  <c r="E8" i="2"/>
</calcChain>
</file>

<file path=xl/sharedStrings.xml><?xml version="1.0" encoding="utf-8"?>
<sst xmlns="http://schemas.openxmlformats.org/spreadsheetml/2006/main" count="15" uniqueCount="15">
  <si>
    <t>Temp1</t>
  </si>
  <si>
    <t>Temp2</t>
  </si>
  <si>
    <t>Temp3</t>
  </si>
  <si>
    <t>Temp4</t>
  </si>
  <si>
    <t>Temp5</t>
  </si>
  <si>
    <t>Defect</t>
  </si>
  <si>
    <t>Frequency</t>
  </si>
  <si>
    <t>Stitching Defect</t>
  </si>
  <si>
    <t>Sole Detachment</t>
  </si>
  <si>
    <t>Glue Marks</t>
  </si>
  <si>
    <t>Color Mismatch</t>
  </si>
  <si>
    <t>Size Variation</t>
  </si>
  <si>
    <t>Logo Misprint</t>
  </si>
  <si>
    <t>Material Tear</t>
  </si>
  <si>
    <t>cumulative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</si>
</sst>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clusteredColumn" uniqueId="{C599D972-F613-4029-BC6C-4EF6EF9541CC}" formatIdx="0">
          <cx:tx>
            <cx:txData>
              <cx:f>_xlchart.v1.1</cx:f>
              <cx:v>Frequency</cx:v>
            </cx:txData>
          </cx:tx>
          <cx:dataId val="0"/>
          <cx:layoutPr>
            <cx:aggregation/>
          </cx:layoutPr>
          <cx:axisId val="1"/>
        </cx:series>
        <cx:series layoutId="clusteredColumn" hidden="1" uniqueId="{FACD2FBA-1E0A-4716-A3B3-D3DFD6B9A029}" formatIdx="2">
          <cx:tx>
            <cx:txData>
              <cx:f>_xlchart.v1.3</cx:f>
              <cx:v>cumulative sum</cx:v>
            </cx:txData>
          </cx:tx>
          <cx:dataId val="1"/>
          <cx:layoutPr>
            <cx:aggregation/>
          </cx:layoutPr>
          <cx:axisId val="1"/>
        </cx:series>
        <cx:series layoutId="clusteredColumn" hidden="1" uniqueId="{EF39BFF4-13B9-41BA-884E-99EA830C84EA}" formatIdx="4">
          <cx:tx>
            <cx:txData>
              <cx:f>_xlchart.v1.5</cx:f>
              <cx:v/>
            </cx:txData>
          </cx:tx>
          <cx:dataId val="2"/>
          <cx:layoutPr>
            <cx:aggregation/>
          </cx:layoutPr>
          <cx:axisId val="1"/>
        </cx:series>
        <cx:series layoutId="paretoLine" ownerIdx="0" uniqueId="{8818DEF8-7B1E-472B-B971-59225F620435}" formatIdx="1">
          <cx:axisId val="2"/>
        </cx:series>
        <cx:series layoutId="paretoLine" ownerIdx="1" uniqueId="{9B68096B-D664-429B-A452-73B5B35C5ACC}" formatIdx="3">
          <cx:axisId val="2"/>
        </cx:series>
        <cx:series layoutId="paretoLine" ownerIdx="2" uniqueId="{6DAD4B64-F04B-4E5A-B766-5AB601680EB0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571499</xdr:colOff>
      <xdr:row>1</xdr:row>
      <xdr:rowOff>114299</xdr:rowOff>
    </xdr:from>
    <xdr:to>
      <xdr:col>16</xdr:col>
      <xdr:colOff>561974</xdr:colOff>
      <xdr:row>10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1E10C2E-1128-4B6F-AD11-57E89E86CB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399" y="304799"/>
              <a:ext cx="4867275" cy="3495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H10" sqref="H1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40.744999999999997</v>
      </c>
      <c r="B2" s="2">
        <v>39.792000000000002</v>
      </c>
      <c r="C2" s="2">
        <v>40.970999999999997</v>
      </c>
      <c r="D2" s="2">
        <v>42.283999999999999</v>
      </c>
      <c r="E2" s="2">
        <v>39.648000000000003</v>
      </c>
    </row>
    <row r="3" spans="1:5" x14ac:dyDescent="0.25">
      <c r="A3" s="2">
        <v>39.648000000000003</v>
      </c>
      <c r="B3" s="2">
        <v>42.368000000000002</v>
      </c>
      <c r="C3" s="2">
        <v>41.151000000000003</v>
      </c>
      <c r="D3" s="2">
        <v>39.295000000000002</v>
      </c>
      <c r="E3" s="2">
        <v>40.813000000000002</v>
      </c>
    </row>
    <row r="4" spans="1:5" x14ac:dyDescent="0.25">
      <c r="A4" s="2">
        <v>39.304000000000002</v>
      </c>
      <c r="B4" s="2">
        <v>39.301000000000002</v>
      </c>
      <c r="C4" s="2">
        <v>40.362000000000002</v>
      </c>
      <c r="D4" s="2">
        <v>37.130000000000003</v>
      </c>
      <c r="E4" s="2">
        <v>37.411999999999999</v>
      </c>
    </row>
    <row r="5" spans="1:5" x14ac:dyDescent="0.25">
      <c r="A5" s="2">
        <v>39.155999999999999</v>
      </c>
      <c r="B5" s="2">
        <v>38.479999999999997</v>
      </c>
      <c r="C5" s="2">
        <v>40.470999999999997</v>
      </c>
      <c r="D5" s="2">
        <v>38.637</v>
      </c>
      <c r="E5" s="2">
        <v>37.881</v>
      </c>
    </row>
    <row r="6" spans="1:5" x14ac:dyDescent="0.25">
      <c r="A6" s="2">
        <v>42.198</v>
      </c>
      <c r="B6" s="2">
        <v>39.661000000000001</v>
      </c>
      <c r="C6" s="2">
        <v>40.100999999999999</v>
      </c>
      <c r="D6" s="2">
        <v>37.862000000000002</v>
      </c>
      <c r="E6" s="2">
        <v>39.183</v>
      </c>
    </row>
    <row r="7" spans="1:5" x14ac:dyDescent="0.25">
      <c r="A7" s="2">
        <v>40.165999999999997</v>
      </c>
      <c r="B7" s="2">
        <v>38.273000000000003</v>
      </c>
      <c r="C7" s="2">
        <v>40.563000000000002</v>
      </c>
      <c r="D7" s="2">
        <v>39.098999999999997</v>
      </c>
      <c r="E7" s="2">
        <v>39.561999999999998</v>
      </c>
    </row>
    <row r="8" spans="1:5" x14ac:dyDescent="0.25">
      <c r="A8" s="2">
        <v>39.097000000000001</v>
      </c>
      <c r="B8" s="2">
        <v>42.777999999999999</v>
      </c>
      <c r="C8" s="2">
        <v>39.978999999999999</v>
      </c>
      <c r="D8" s="2">
        <v>38.412999999999997</v>
      </c>
      <c r="E8" s="2">
        <v>41.232999999999997</v>
      </c>
    </row>
    <row r="9" spans="1:5" x14ac:dyDescent="0.25">
      <c r="A9" s="2">
        <v>38.167999999999999</v>
      </c>
      <c r="B9" s="2">
        <v>40.313000000000002</v>
      </c>
      <c r="C9" s="2">
        <v>37.06</v>
      </c>
      <c r="D9" s="2">
        <v>38.006999999999998</v>
      </c>
      <c r="E9" s="2">
        <v>40.295000000000002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S3" sqref="S3"/>
    </sheetView>
  </sheetViews>
  <sheetFormatPr defaultRowHeight="15" x14ac:dyDescent="0.25"/>
  <cols>
    <col min="2" max="2" width="15.42578125" customWidth="1"/>
  </cols>
  <sheetData>
    <row r="1" spans="1:5" x14ac:dyDescent="0.25">
      <c r="A1" s="1" t="s">
        <v>5</v>
      </c>
      <c r="B1" s="1" t="s">
        <v>6</v>
      </c>
      <c r="C1" t="s">
        <v>14</v>
      </c>
    </row>
    <row r="2" spans="1:5" ht="30" x14ac:dyDescent="0.25">
      <c r="A2" s="2" t="s">
        <v>7</v>
      </c>
      <c r="B2" s="2">
        <v>60</v>
      </c>
      <c r="C2" s="3">
        <f>E2</f>
        <v>0.25531914893617019</v>
      </c>
      <c r="E2">
        <f>B2/$B$9</f>
        <v>0.25531914893617019</v>
      </c>
    </row>
    <row r="3" spans="1:5" ht="45" x14ac:dyDescent="0.25">
      <c r="A3" s="2" t="s">
        <v>8</v>
      </c>
      <c r="B3" s="2">
        <v>45</v>
      </c>
      <c r="C3" s="3">
        <f>C2+E3</f>
        <v>0.44680851063829785</v>
      </c>
      <c r="E3">
        <f t="shared" ref="E3:E8" si="0">B3/$B$9</f>
        <v>0.19148936170212766</v>
      </c>
    </row>
    <row r="4" spans="1:5" ht="30" x14ac:dyDescent="0.25">
      <c r="A4" s="2" t="s">
        <v>9</v>
      </c>
      <c r="B4" s="2">
        <v>40</v>
      </c>
      <c r="C4" s="3">
        <f t="shared" ref="C4:C8" si="1">C3+E4</f>
        <v>0.61702127659574468</v>
      </c>
      <c r="E4">
        <f t="shared" si="0"/>
        <v>0.1702127659574468</v>
      </c>
    </row>
    <row r="5" spans="1:5" ht="45" x14ac:dyDescent="0.25">
      <c r="A5" s="2" t="s">
        <v>10</v>
      </c>
      <c r="B5" s="2">
        <v>30</v>
      </c>
      <c r="C5" s="3">
        <f t="shared" si="1"/>
        <v>0.74468085106382975</v>
      </c>
      <c r="E5">
        <f t="shared" si="0"/>
        <v>0.1276595744680851</v>
      </c>
    </row>
    <row r="6" spans="1:5" ht="30" x14ac:dyDescent="0.25">
      <c r="A6" s="2" t="s">
        <v>11</v>
      </c>
      <c r="B6" s="2">
        <v>25</v>
      </c>
      <c r="C6" s="3">
        <f t="shared" si="1"/>
        <v>0.85106382978723405</v>
      </c>
      <c r="E6">
        <f t="shared" si="0"/>
        <v>0.10638297872340426</v>
      </c>
    </row>
    <row r="7" spans="1:5" ht="30" x14ac:dyDescent="0.25">
      <c r="A7" s="2" t="s">
        <v>12</v>
      </c>
      <c r="B7" s="2">
        <v>20</v>
      </c>
      <c r="C7" s="3">
        <f t="shared" si="1"/>
        <v>0.93617021276595747</v>
      </c>
      <c r="E7">
        <f t="shared" si="0"/>
        <v>8.5106382978723402E-2</v>
      </c>
    </row>
    <row r="8" spans="1:5" ht="30" x14ac:dyDescent="0.25">
      <c r="A8" s="2" t="s">
        <v>13</v>
      </c>
      <c r="B8" s="2">
        <v>15</v>
      </c>
      <c r="C8" s="3">
        <f t="shared" si="1"/>
        <v>1</v>
      </c>
      <c r="E8">
        <f t="shared" si="0"/>
        <v>6.3829787234042548E-2</v>
      </c>
    </row>
    <row r="9" spans="1:5" x14ac:dyDescent="0.25">
      <c r="B9">
        <f>SUM(B2:B8)</f>
        <v>235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GS-3</dc:creator>
  <cp:lastModifiedBy>hp</cp:lastModifiedBy>
  <dcterms:created xsi:type="dcterms:W3CDTF">2026-03-07T15:42:47Z</dcterms:created>
  <dcterms:modified xsi:type="dcterms:W3CDTF">2026-03-07T07:14:49Z</dcterms:modified>
</cp:coreProperties>
</file>